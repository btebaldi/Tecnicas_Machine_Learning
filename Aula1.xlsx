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.barbosa\Documents\"/>
    </mc:Choice>
  </mc:AlternateContent>
  <xr:revisionPtr revIDLastSave="0" documentId="8_{EFD8487E-8D95-41BD-8AD0-AABA7A74D6C8}" xr6:coauthVersionLast="47" xr6:coauthVersionMax="47" xr10:uidLastSave="{00000000-0000-0000-0000-000000000000}"/>
  <bookViews>
    <workbookView xWindow="1950" yWindow="1950" windowWidth="21600" windowHeight="11295" xr2:uid="{4BB6FBED-2673-45D4-94BB-49D5BD970CBA}"/>
  </bookViews>
  <sheets>
    <sheet name="Planilha2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2" l="1"/>
  <c r="I14" i="2"/>
  <c r="I5" i="2"/>
  <c r="I6" i="2"/>
  <c r="I7" i="2"/>
  <c r="I8" i="2"/>
  <c r="I9" i="2"/>
  <c r="I10" i="2"/>
  <c r="I11" i="2"/>
  <c r="I12" i="2"/>
  <c r="I4" i="2"/>
  <c r="H5" i="2"/>
  <c r="H6" i="2"/>
  <c r="H7" i="2"/>
  <c r="H8" i="2"/>
  <c r="H9" i="2"/>
  <c r="H10" i="2"/>
  <c r="H11" i="2"/>
  <c r="H12" i="2"/>
  <c r="H4" i="2"/>
  <c r="G5" i="2"/>
  <c r="G6" i="2"/>
  <c r="G7" i="2"/>
  <c r="G8" i="2"/>
  <c r="G9" i="2"/>
  <c r="G10" i="2"/>
  <c r="G11" i="2"/>
  <c r="G12" i="2"/>
  <c r="G4" i="2"/>
  <c r="D15" i="2"/>
  <c r="F5" i="2"/>
  <c r="F6" i="2"/>
  <c r="F7" i="2"/>
  <c r="F8" i="2"/>
  <c r="F9" i="2"/>
  <c r="F10" i="2"/>
  <c r="F11" i="2"/>
  <c r="F12" i="2"/>
  <c r="F4" i="2"/>
  <c r="F14" i="2"/>
  <c r="E5" i="2"/>
  <c r="E6" i="2"/>
  <c r="E7" i="2"/>
  <c r="E8" i="2"/>
  <c r="E9" i="2"/>
  <c r="E10" i="2"/>
  <c r="E11" i="2"/>
  <c r="E12" i="2"/>
  <c r="E4" i="2"/>
  <c r="D14" i="2"/>
</calcChain>
</file>

<file path=xl/sharedStrings.xml><?xml version="1.0" encoding="utf-8"?>
<sst xmlns="http://schemas.openxmlformats.org/spreadsheetml/2006/main" count="11" uniqueCount="11">
  <si>
    <t>No Jaquetas</t>
  </si>
  <si>
    <t>Qtd</t>
  </si>
  <si>
    <t>n</t>
  </si>
  <si>
    <t>ni</t>
  </si>
  <si>
    <t>fi</t>
  </si>
  <si>
    <t>X*fi</t>
  </si>
  <si>
    <t>xi-xm</t>
  </si>
  <si>
    <t>(xi-xm)^2</t>
  </si>
  <si>
    <t>(xi-xm)^2*fi</t>
  </si>
  <si>
    <t>var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</si>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</sst>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" fontId="0" fillId="0" borderId="0" xfId="0" applyNumberFormat="1"/>
    <xf numFmtId="164" fontId="0" fillId="2" borderId="0" xfId="0" applyNumberFormat="1" applyFill="1"/>
    <xf numFmtId="0" fontId="0" fillId="2" borderId="0" xfId="0" applyFill="1"/>
    <xf numFmtId="4" fontId="0" fillId="0" borderId="1" xfId="0" applyNumberFormat="1" applyBorder="1" applyAlignment="1">
      <alignment horizontal="center"/>
    </xf>
    <xf numFmtId="164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4A83-F26E-4E5B-B401-7062721BDEA9}">
  <dimension ref="C2:I15"/>
  <sheetViews>
    <sheetView tabSelected="1" zoomScale="200" zoomScaleNormal="200" workbookViewId="0">
      <selection activeCell="C3" sqref="C3:I12"/>
    </sheetView>
  </sheetViews>
  <sheetFormatPr defaultRowHeight="15" x14ac:dyDescent="0.25"/>
  <cols>
    <col min="3" max="3" width="11.7109375" bestFit="1" customWidth="1"/>
  </cols>
  <sheetData>
    <row r="2" spans="3:9" x14ac:dyDescent="0.25">
      <c r="D2" t="s">
        <v>3</v>
      </c>
    </row>
    <row r="3" spans="3:9" x14ac:dyDescent="0.25">
      <c r="C3" s="2" t="s">
        <v>0</v>
      </c>
      <c r="D3" s="2" t="s">
        <v>1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3:9" x14ac:dyDescent="0.25">
      <c r="C4" s="2">
        <v>0</v>
      </c>
      <c r="D4" s="2">
        <v>2</v>
      </c>
      <c r="E4" s="6">
        <f>D4/$D$14</f>
        <v>3.7243947858472998E-3</v>
      </c>
      <c r="F4" s="7">
        <f>C4*E4</f>
        <v>0</v>
      </c>
      <c r="G4" s="7">
        <f>C4-$F$14</f>
        <v>-4.2551210428305408</v>
      </c>
      <c r="H4" s="8">
        <f>G4*G4</f>
        <v>18.106055089139268</v>
      </c>
      <c r="I4" s="8">
        <f>H4*E4</f>
        <v>6.7434097166254259E-2</v>
      </c>
    </row>
    <row r="5" spans="3:9" x14ac:dyDescent="0.25">
      <c r="C5" s="2">
        <v>1</v>
      </c>
      <c r="D5" s="2">
        <v>7</v>
      </c>
      <c r="E5" s="6">
        <f t="shared" ref="E5:E12" si="0">D5/$D$14</f>
        <v>1.3035381750465549E-2</v>
      </c>
      <c r="F5" s="7">
        <f t="shared" ref="F5:F12" si="1">C5*E5</f>
        <v>1.3035381750465549E-2</v>
      </c>
      <c r="G5" s="7">
        <f t="shared" ref="G5:G12" si="2">C5-$F$14</f>
        <v>-3.2551210428305408</v>
      </c>
      <c r="H5" s="8">
        <f t="shared" ref="H5:H12" si="3">G5*G5</f>
        <v>10.595813003478188</v>
      </c>
      <c r="I5" s="8">
        <f t="shared" ref="I5:I12" si="4">H5*E5</f>
        <v>0.13812046745688514</v>
      </c>
    </row>
    <row r="6" spans="3:9" x14ac:dyDescent="0.25">
      <c r="C6" s="2">
        <v>2</v>
      </c>
      <c r="D6" s="2">
        <v>41</v>
      </c>
      <c r="E6" s="6">
        <f t="shared" si="0"/>
        <v>7.6350093109869649E-2</v>
      </c>
      <c r="F6" s="7">
        <f t="shared" si="1"/>
        <v>0.1527001862197393</v>
      </c>
      <c r="G6" s="7">
        <f t="shared" si="2"/>
        <v>-2.2551210428305408</v>
      </c>
      <c r="H6" s="8">
        <f t="shared" si="3"/>
        <v>5.0855709178171056</v>
      </c>
      <c r="I6" s="8">
        <f t="shared" si="4"/>
        <v>0.38828381309218124</v>
      </c>
    </row>
    <row r="7" spans="3:9" x14ac:dyDescent="0.25">
      <c r="C7" s="2">
        <v>3</v>
      </c>
      <c r="D7" s="2">
        <v>146</v>
      </c>
      <c r="E7" s="6">
        <f t="shared" si="0"/>
        <v>0.27188081936685288</v>
      </c>
      <c r="F7" s="7">
        <f t="shared" si="1"/>
        <v>0.81564245810055858</v>
      </c>
      <c r="G7" s="7">
        <f t="shared" si="2"/>
        <v>-1.2551210428305408</v>
      </c>
      <c r="H7" s="8">
        <f t="shared" si="3"/>
        <v>1.5753288321560244</v>
      </c>
      <c r="I7" s="8">
        <f t="shared" si="4"/>
        <v>0.42830169365880738</v>
      </c>
    </row>
    <row r="8" spans="3:9" x14ac:dyDescent="0.25">
      <c r="C8" s="2">
        <v>4</v>
      </c>
      <c r="D8" s="2">
        <v>178</v>
      </c>
      <c r="E8" s="6">
        <f t="shared" si="0"/>
        <v>0.33147113594040967</v>
      </c>
      <c r="F8" s="7">
        <f t="shared" si="1"/>
        <v>1.3258845437616387</v>
      </c>
      <c r="G8" s="7">
        <f t="shared" si="2"/>
        <v>-0.25512104283054082</v>
      </c>
      <c r="H8" s="8">
        <f t="shared" si="3"/>
        <v>6.5086746494942643E-2</v>
      </c>
      <c r="I8" s="8">
        <f t="shared" si="4"/>
        <v>2.1574377795344116E-2</v>
      </c>
    </row>
    <row r="9" spans="3:9" x14ac:dyDescent="0.25">
      <c r="C9" s="2">
        <v>5</v>
      </c>
      <c r="D9" s="2">
        <v>0</v>
      </c>
      <c r="E9" s="6">
        <f t="shared" si="0"/>
        <v>0</v>
      </c>
      <c r="F9" s="7">
        <f t="shared" si="1"/>
        <v>0</v>
      </c>
      <c r="G9" s="7">
        <f t="shared" si="2"/>
        <v>0.74487895716945918</v>
      </c>
      <c r="H9" s="8">
        <f t="shared" si="3"/>
        <v>0.55484466083386097</v>
      </c>
      <c r="I9" s="8">
        <f t="shared" si="4"/>
        <v>0</v>
      </c>
    </row>
    <row r="10" spans="3:9" x14ac:dyDescent="0.25">
      <c r="C10" s="2">
        <v>6</v>
      </c>
      <c r="D10" s="2">
        <v>108</v>
      </c>
      <c r="E10" s="6">
        <f t="shared" si="0"/>
        <v>0.2011173184357542</v>
      </c>
      <c r="F10" s="7">
        <f t="shared" si="1"/>
        <v>1.2067039106145252</v>
      </c>
      <c r="G10" s="7">
        <f t="shared" si="2"/>
        <v>1.7448789571694592</v>
      </c>
      <c r="H10" s="8">
        <f t="shared" si="3"/>
        <v>3.0446025751727794</v>
      </c>
      <c r="I10" s="8">
        <f t="shared" si="4"/>
        <v>0.61232230562134116</v>
      </c>
    </row>
    <row r="11" spans="3:9" x14ac:dyDescent="0.25">
      <c r="C11" s="2">
        <v>7</v>
      </c>
      <c r="D11" s="2">
        <v>42</v>
      </c>
      <c r="E11" s="6">
        <f t="shared" si="0"/>
        <v>7.8212290502793297E-2</v>
      </c>
      <c r="F11" s="7">
        <f t="shared" si="1"/>
        <v>0.54748603351955305</v>
      </c>
      <c r="G11" s="7">
        <f t="shared" si="2"/>
        <v>2.7448789571694592</v>
      </c>
      <c r="H11" s="8">
        <f t="shared" si="3"/>
        <v>7.5343604895116973</v>
      </c>
      <c r="I11" s="8">
        <f t="shared" si="4"/>
        <v>0.58927959135845676</v>
      </c>
    </row>
    <row r="12" spans="3:9" x14ac:dyDescent="0.25">
      <c r="C12" s="2">
        <v>8</v>
      </c>
      <c r="D12" s="2">
        <v>13</v>
      </c>
      <c r="E12" s="6">
        <f t="shared" si="0"/>
        <v>2.4208566108007448E-2</v>
      </c>
      <c r="F12" s="7">
        <f t="shared" si="1"/>
        <v>0.19366852886405958</v>
      </c>
      <c r="G12" s="7">
        <f t="shared" si="2"/>
        <v>3.7448789571694592</v>
      </c>
      <c r="H12" s="8">
        <f t="shared" si="3"/>
        <v>14.024118403850617</v>
      </c>
      <c r="I12" s="8">
        <f t="shared" si="4"/>
        <v>0.33950379748614151</v>
      </c>
    </row>
    <row r="14" spans="3:9" x14ac:dyDescent="0.25">
      <c r="C14" t="s">
        <v>2</v>
      </c>
      <c r="D14">
        <f>SUM(D4:D12)</f>
        <v>537</v>
      </c>
      <c r="F14" s="4">
        <f>SUM(F4:F12)</f>
        <v>4.2551210428305408</v>
      </c>
      <c r="H14" t="s">
        <v>9</v>
      </c>
      <c r="I14" s="3">
        <f>SUM(I4:I12)</f>
        <v>2.5848201436354117</v>
      </c>
    </row>
    <row r="15" spans="3:9" x14ac:dyDescent="0.25">
      <c r="D15">
        <f>D14/2</f>
        <v>268.5</v>
      </c>
      <c r="H15" t="s">
        <v>10</v>
      </c>
      <c r="I15" s="5">
        <f>SQRT(I14)</f>
        <v>1.6077375854396798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86E6E85824304A89243693A27B8D00" ma:contentTypeVersion="0" ma:contentTypeDescription="Crie um novo documento." ma:contentTypeScope="" ma:versionID="aa775435f0f78e7bc4e1d4eb1e1e51d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74c6ccb71ee63fbc30cff3237551ec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BC62B4-7777-4482-802E-05B6A31F9BBC}"/>
</file>

<file path=customXml/itemProps2.xml><?xml version="1.0" encoding="utf-8"?>
<ds:datastoreItem xmlns:ds="http://schemas.openxmlformats.org/officeDocument/2006/customXml" ds:itemID="{32F94651-E9BB-4D9F-8EFC-622C26176FD4}"/>
</file>

<file path=customXml/itemProps3.xml><?xml version="1.0" encoding="utf-8"?>
<ds:datastoreItem xmlns:ds="http://schemas.openxmlformats.org/officeDocument/2006/customXml" ds:itemID="{ED185792-9930-449F-A909-3309696633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 de Queiroz Barbosa</dc:creator>
  <cp:lastModifiedBy>Bruno Tebaldi de Queiroz Barbosa</cp:lastModifiedBy>
  <dcterms:created xsi:type="dcterms:W3CDTF">2025-03-08T13:18:50Z</dcterms:created>
  <dcterms:modified xsi:type="dcterms:W3CDTF">2025-03-08T15:03:26Z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0x0101006786E6E85824304A89243693A27B8D00</vt:lpwstr>
  </property>
</Properties>
</file>